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B1600B9-3D5B-4346-83FC-FC045BAFCCEF}" xr6:coauthVersionLast="47" xr6:coauthVersionMax="47" xr10:uidLastSave="{00000000-0000-0000-0000-000000000000}"/>
  <bookViews>
    <workbookView xWindow="-120" yWindow="-120" windowWidth="29040" windowHeight="15720" xr2:uid="{EF85F9CD-DAA7-4660-8063-25BF62109B33}"/>
  </bookViews>
  <sheets>
    <sheet name="Sheet1" sheetId="1" r:id="rId1"/>
  </sheets>
  <definedNames>
    <definedName name="BOM">Sheet1!$A$1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7" i="1"/>
  <c r="F8" i="1"/>
  <c r="F9" i="1"/>
  <c r="F10" i="1"/>
  <c r="F4" i="1"/>
  <c r="I4" i="1"/>
</calcChain>
</file>

<file path=xl/sharedStrings.xml><?xml version="1.0" encoding="utf-8"?>
<sst xmlns="http://schemas.openxmlformats.org/spreadsheetml/2006/main" count="21" uniqueCount="21">
  <si>
    <t>STT</t>
  </si>
  <si>
    <t xml:space="preserve">name </t>
  </si>
  <si>
    <t>quantity</t>
  </si>
  <si>
    <t xml:space="preserve">price </t>
  </si>
  <si>
    <t>function</t>
  </si>
  <si>
    <t xml:space="preserve">BOM </t>
  </si>
  <si>
    <t>sensor</t>
  </si>
  <si>
    <t>ardruino uno</t>
  </si>
  <si>
    <t xml:space="preserve">main control </t>
  </si>
  <si>
    <t>motor</t>
  </si>
  <si>
    <t>driver</t>
  </si>
  <si>
    <t>nguồn</t>
  </si>
  <si>
    <t>Hộp pin 2 X 18650 Battery Holder có công tắc</t>
  </si>
  <si>
    <t>giảm áp đầu ra 5v - 3A</t>
  </si>
  <si>
    <t>GA12 N20 DC Geared Motor + bánh 34mm</t>
  </si>
  <si>
    <t>total</t>
  </si>
  <si>
    <t>DRV8833</t>
  </si>
  <si>
    <t>Mạch giảm áp DC-DC Buck Mini 3A V2</t>
  </si>
  <si>
    <t>Pin Sạc 18650 Li-Ion Rechargeable Battery 3.7V 2000mAh 10C</t>
  </si>
  <si>
    <t>nguồn series 7.4 V - 2 A</t>
  </si>
  <si>
    <t>QTR-5RC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</si>
</sst>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₫-42A]_-;\-* #,##0.00\ [$₫-42A]_-;_-* &quot;-&quot;??\ [$₫-42A]_-;_-@_-"/>
    <numFmt numFmtId="165" formatCode="_-* #,##0\ [$₫-42A]_-;\-* #,##0\ [$₫-42A]_-;_-* &quot;-&quot;\ [$₫-42A]_-;_-@_-"/>
  </numFmts>
  <fonts count="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B499-F7F2-4015-AA94-0D5F970AE8D1}">
  <dimension ref="A1:I10"/>
  <sheetViews>
    <sheetView tabSelected="1" workbookViewId="0">
      <selection activeCell="B10" sqref="B10"/>
    </sheetView>
  </sheetViews>
  <sheetFormatPr defaultColWidth="8.85546875" defaultRowHeight="15" x14ac:dyDescent="0.25"/>
  <cols>
    <col min="1" max="1" width="8.85546875" style="1"/>
    <col min="2" max="2" width="52.28515625" style="1" customWidth="1"/>
    <col min="3" max="3" width="8.5703125" style="1" customWidth="1"/>
    <col min="4" max="4" width="17.42578125" style="2" customWidth="1"/>
    <col min="5" max="5" width="26.7109375" style="1" customWidth="1"/>
    <col min="6" max="6" width="14.85546875" style="1" customWidth="1"/>
    <col min="7" max="8" width="8.85546875" style="1"/>
    <col min="9" max="9" width="16.42578125" style="1" customWidth="1"/>
    <col min="10" max="16384" width="8.85546875" style="1"/>
  </cols>
  <sheetData>
    <row r="1" spans="1:9" ht="14.45" customHeight="1" x14ac:dyDescent="0.25">
      <c r="A1" s="4" t="s">
        <v>5</v>
      </c>
      <c r="B1" s="4"/>
      <c r="C1" s="4"/>
      <c r="D1" s="4"/>
      <c r="E1" s="4"/>
    </row>
    <row r="2" spans="1:9" ht="36.6" customHeight="1" x14ac:dyDescent="0.25">
      <c r="A2" s="4"/>
      <c r="B2" s="4"/>
      <c r="C2" s="4"/>
      <c r="D2" s="4"/>
      <c r="E2" s="4"/>
    </row>
    <row r="3" spans="1:9" x14ac:dyDescent="0.25">
      <c r="A3" s="1" t="s">
        <v>0</v>
      </c>
      <c r="B3" s="1" t="s">
        <v>1</v>
      </c>
      <c r="C3" s="1" t="s">
        <v>2</v>
      </c>
      <c r="D3" s="2" t="s">
        <v>3</v>
      </c>
      <c r="E3" s="1" t="s">
        <v>4</v>
      </c>
      <c r="I3" s="1" t="s">
        <v>15</v>
      </c>
    </row>
    <row r="4" spans="1:9" x14ac:dyDescent="0.25">
      <c r="A4" s="1">
        <v>1</v>
      </c>
      <c r="B4" s="1" t="s">
        <v>20</v>
      </c>
      <c r="C4" s="1">
        <v>1</v>
      </c>
      <c r="D4" s="2">
        <v>145000</v>
      </c>
      <c r="E4" s="1" t="s">
        <v>6</v>
      </c>
      <c r="F4" s="2">
        <f>C4*D4</f>
        <v>145000</v>
      </c>
      <c r="I4" s="3">
        <f>SUM(F4:F10)</f>
        <v>376000</v>
      </c>
    </row>
    <row r="5" spans="1:9" x14ac:dyDescent="0.25">
      <c r="A5" s="1">
        <v>2</v>
      </c>
      <c r="B5" s="1" t="s">
        <v>7</v>
      </c>
      <c r="C5" s="1">
        <v>1</v>
      </c>
      <c r="D5" s="2">
        <v>0</v>
      </c>
      <c r="E5" s="1" t="s">
        <v>8</v>
      </c>
      <c r="F5" s="2">
        <f t="shared" ref="F5:F10" si="0">C5*D5</f>
        <v>0</v>
      </c>
    </row>
    <row r="6" spans="1:9" x14ac:dyDescent="0.25">
      <c r="A6" s="1">
        <v>3</v>
      </c>
      <c r="B6" s="1" t="s">
        <v>14</v>
      </c>
      <c r="C6" s="1">
        <v>2</v>
      </c>
      <c r="D6" s="2">
        <v>60000</v>
      </c>
      <c r="E6" s="1" t="s">
        <v>9</v>
      </c>
      <c r="F6" s="2">
        <f>C6*D6</f>
        <v>120000</v>
      </c>
    </row>
    <row r="7" spans="1:9" x14ac:dyDescent="0.25">
      <c r="A7" s="1">
        <v>4</v>
      </c>
      <c r="B7" s="1" t="s">
        <v>16</v>
      </c>
      <c r="C7" s="1">
        <v>1</v>
      </c>
      <c r="D7" s="2">
        <v>15000</v>
      </c>
      <c r="E7" s="1" t="s">
        <v>10</v>
      </c>
      <c r="F7" s="2">
        <f t="shared" si="0"/>
        <v>15000</v>
      </c>
    </row>
    <row r="8" spans="1:9" x14ac:dyDescent="0.25">
      <c r="A8" s="1">
        <v>5</v>
      </c>
      <c r="B8" s="1" t="s">
        <v>18</v>
      </c>
      <c r="C8" s="1">
        <v>2</v>
      </c>
      <c r="D8" s="2">
        <v>35000</v>
      </c>
      <c r="E8" s="1" t="s">
        <v>19</v>
      </c>
      <c r="F8" s="2">
        <f t="shared" si="0"/>
        <v>70000</v>
      </c>
    </row>
    <row r="9" spans="1:9" x14ac:dyDescent="0.25">
      <c r="A9" s="1">
        <v>6</v>
      </c>
      <c r="B9" s="1" t="s">
        <v>12</v>
      </c>
      <c r="C9" s="1">
        <v>1</v>
      </c>
      <c r="D9" s="2">
        <v>13000</v>
      </c>
      <c r="E9" s="1" t="s">
        <v>11</v>
      </c>
      <c r="F9" s="2">
        <f t="shared" si="0"/>
        <v>13000</v>
      </c>
    </row>
    <row r="10" spans="1:9" x14ac:dyDescent="0.25">
      <c r="A10" s="1">
        <v>7</v>
      </c>
      <c r="B10" s="1" t="s">
        <v>17</v>
      </c>
      <c r="C10" s="1">
        <v>1</v>
      </c>
      <c r="D10" s="2">
        <v>13000</v>
      </c>
      <c r="E10" s="1" t="s">
        <v>13</v>
      </c>
      <c r="F10" s="2">
        <f t="shared" si="0"/>
        <v>13000</v>
      </c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Ngoc</dc:creator>
  <cp:lastModifiedBy>Nguyen Ngoc</cp:lastModifiedBy>
  <dcterms:created xsi:type="dcterms:W3CDTF">2026-01-10T06:04:11Z</dcterms:created>
  <dcterms:modified xsi:type="dcterms:W3CDTF">2026-02-24T16:08:29Z</dcterms:modified>
</cp:coreProperties>
</file>